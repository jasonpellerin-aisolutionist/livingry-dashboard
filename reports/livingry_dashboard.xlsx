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laims" sheetId="2" state="visible" r:id="rId2"/>
    <sheet name="Priority" sheetId="3" state="visible" r:id="rId3"/>
    <sheet name="Provision" sheetId="4" state="visible" r:id="rId4"/>
    <sheet name="GDP beside CO2" sheetId="5" state="visible" r:id="rId5"/>
    <sheet name="Protein land" sheetId="6" state="visible" r:id="rId6"/>
    <sheet name="Not measured" sheetId="7" state="visible" r:id="rId7"/>
    <sheet name="Quality log" sheetId="8" state="visible" r:id="rId8"/>
  </sheets>
  <definedNames>
    <definedName name="_xlnm._FilterDatabase" localSheetId="1" hidden="1">'Claims'!$A$1:$F$1</definedName>
    <definedName name="_xlnm._FilterDatabase" localSheetId="2" hidden="1">'Priority'!$A$1:$D$1</definedName>
    <definedName name="_xlnm._FilterDatabase" localSheetId="3" hidden="1">'Provision'!$A$1:$F$1</definedName>
    <definedName name="_xlnm._FilterDatabase" localSheetId="4" hidden="1">'GDP beside CO2'!$A$1:$C$1</definedName>
    <definedName name="_xlnm._FilterDatabase" localSheetId="5" hidden="1">'Protein land'!$A$1:$D$1</definedName>
    <definedName name="_xlnm._FilterDatabase" localSheetId="6" hidden="1">'Not measured'!$A$1:$C$1</definedName>
    <definedName name="_xlnm._FilterDatabase" localSheetId="7" hidden="1">'Quality log'!$A$1:$C$1</definedName>
  </definedNames>
  <calcPr calcId="124519" fullCalcOnLoad="1"/>
</workbook>
</file>

<file path=xl/styles.xml><?xml version="1.0" encoding="utf-8"?>
<styleSheet xmlns="http://schemas.openxmlformats.org/spreadsheetml/2006/main">
  <numFmts count="3">
    <numFmt numFmtId="164" formatCode="&quot;$&quot;#,##0"/>
    <numFmt numFmtId="165" formatCode="0.0%"/>
    <numFmt numFmtId="166" formatCode="0.0&quot; to 1&quot;"/>
  </numFmts>
  <fonts count="6">
    <font>
      <name val="Calibri"/>
      <family val="2"/>
      <color theme="1"/>
      <sz val="11"/>
      <scheme val="minor"/>
    </font>
    <font>
      <b val="1"/>
      <color rgb="000F172A"/>
      <sz val="16"/>
    </font>
    <font>
      <i val="1"/>
      <color rgb="0064748B"/>
      <sz val="10"/>
    </font>
    <font>
      <b val="1"/>
      <color rgb="00FFFFFF"/>
    </font>
    <font>
      <b val="1"/>
      <color rgb="000F766E"/>
    </font>
    <font>
      <b val="1"/>
      <color rgb="001E3A5F"/>
    </font>
  </fonts>
  <fills count="3">
    <fill>
      <patternFill/>
    </fill>
    <fill>
      <patternFill patternType="gray125"/>
    </fill>
    <fill>
      <patternFill patternType="solid">
        <fgColor rgb="001E3A5F"/>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164" fontId="0" fillId="0" borderId="0" pivotButton="0" quotePrefix="0" xfId="0"/>
    <xf numFmtId="165" fontId="0" fillId="0" borderId="0" pivotButton="0" quotePrefix="0" xfId="0"/>
    <xf numFmtId="0" fontId="4" fillId="0" borderId="0" pivotButton="0" quotePrefix="0" xfId="0"/>
    <xf numFmtId="0" fontId="5" fillId="0" borderId="0" pivotButton="0" quotePrefix="0" xfId="0"/>
    <xf numFmtId="166" fontId="0" fillId="0" borderId="0" pivotButton="0" quotePrefix="0" xfId="0"/>
    <xf numFmtId="4"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style val="10"/>
  <chart>
    <title>
      <tx>
        <rich>
          <a:bodyPr/>
          <a:p>
            <a:pPr>
              <a:defRPr/>
            </a:pPr>
            <a:r>
              <a:t>FY2025 obligations</a:t>
            </a:r>
          </a:p>
        </rich>
      </tx>
    </title>
    <plotArea>
      <barChart>
        <barDir val="col"/>
        <grouping val="clustered"/>
        <ser>
          <idx val="0"/>
          <order val="0"/>
          <tx>
            <strRef>
              <f>'Priority'!C1</f>
            </strRef>
          </tx>
          <spPr>
            <a:solidFill>
              <a:srgbClr val="1E3A5F"/>
            </a:solidFill>
            <a:ln>
              <a:prstDash val="solid"/>
            </a:ln>
          </spPr>
          <cat>
            <numRef>
              <f>'Priority'!$A$2:$A$9</f>
            </numRef>
          </cat>
          <val>
            <numRef>
              <f>'Priority'!$C$2:$C$9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Dollars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15</row>
      <rowOff>0</rowOff>
    </from>
    <ext cx="720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10" customWidth="1" min="1" max="1"/>
  </cols>
  <sheetData>
    <row r="1">
      <c r="A1" s="1" t="inlineStr">
        <is>
          <t>The Livingry Dashboard</t>
        </is>
      </c>
    </row>
    <row r="2" ht="36" customHeight="1">
      <c r="A2" s="2" t="inlineStr">
        <is>
          <t>Indicators named in The Livingry Protocol, an unpublished manuscript by Jason Pellerin. Each number is in its own unit. This workbook does not compute a score.</t>
        </is>
      </c>
    </row>
    <row r="4">
      <c r="A4" s="3" t="inlineStr">
        <is>
          <t>Obligations are commitments, not cash. FY2026 is a partial year and is not used in the claims.</t>
        </is>
      </c>
    </row>
    <row r="5">
      <c r="A5" s="3" t="inlineStr">
        <is>
          <t>The USDA + EPA + HUD + Interior total is an author grouping. The formula is in the Priority sheet.</t>
        </is>
      </c>
    </row>
    <row r="6">
      <c r="A6" s="3" t="inlineStr">
        <is>
          <t>HHS is shown and never added in. Most of it is Medicare and Medicaid.</t>
        </is>
      </c>
    </row>
    <row r="7">
      <c r="A7" s="3" t="inlineStr">
        <is>
          <t>A Lockheed registration and the EPA total are different kinds of quantity. Scale only.</t>
        </is>
      </c>
    </row>
    <row r="8">
      <c r="A8" s="3" t="inlineStr">
        <is>
          <t>Calories beside food insecurity is coexistence, not a cause.</t>
        </is>
      </c>
    </row>
    <row r="9">
      <c r="A9" s="3" t="inlineStr">
        <is>
          <t>GDP beside CO2 is two series, not an index.</t>
        </is>
      </c>
    </row>
    <row r="10">
      <c r="A10" s="3" t="inlineStr">
        <is>
          <t>Land per 100g protein is Poore and Nemecek 2018 via Our World in Data, not a live feed.</t>
        </is>
      </c>
    </row>
    <row r="11">
      <c r="A11" s="3" t="inlineStr">
        <is>
          <t>Chapter 1 refuses a vacant-homes versus homeless-people comparison. It is not here.</t>
        </is>
      </c>
    </row>
    <row r="12">
      <c r="A12" s="3" t="inlineStr">
        <is>
          <t>Chapter 29 refuses a single composite. It is not here.</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0" customWidth="1" min="4" max="4"/>
    <col width="55" customWidth="1" min="5" max="5"/>
    <col width="45" customWidth="1" min="6" max="6"/>
  </cols>
  <sheetData>
    <row r="1">
      <c r="A1" s="4" t="inlineStr">
        <is>
          <t>Chapter</t>
        </is>
      </c>
      <c r="B1" s="4" t="inlineStr">
        <is>
          <t>Claim</t>
        </is>
      </c>
      <c r="C1" s="4" t="inlineStr">
        <is>
          <t>Verdict</t>
        </is>
      </c>
      <c r="D1" s="4" t="inlineStr">
        <is>
          <t>Year</t>
        </is>
      </c>
      <c r="E1" s="4" t="inlineStr">
        <is>
          <t>Evidence</t>
        </is>
      </c>
      <c r="F1" s="4" t="inlineStr">
        <is>
          <t>Caveat</t>
        </is>
      </c>
    </row>
    <row r="2" ht="48" customHeight="1">
      <c r="A2" s="5" t="inlineStr">
        <is>
          <t>1 and 30</t>
        </is>
      </c>
      <c r="B2" s="5" t="inlineStr">
        <is>
          <t>Defense obligations and EPA obligations are different orders of magnitude in the same fiscal year.</t>
        </is>
      </c>
      <c r="C2" s="5" t="inlineStr">
        <is>
          <t>magnitude_reported</t>
        </is>
      </c>
      <c r="D2" s="5" t="n">
        <v>2025</v>
      </c>
      <c r="E2" s="5" t="inlineStr">
        <is>
          <t>FY2025 obligations: Defense $1451.3B, EPA $34.3B, ratio 42 to 1. Both figures are agency obligations.</t>
        </is>
      </c>
      <c r="F2" s="5" t="inlineStr">
        <is>
          <t>Obligations are commitments, not cash outlays. A ratio is not a proposal to move the money.</t>
        </is>
      </c>
    </row>
    <row r="3" ht="48" customHeight="1">
      <c r="A3" s="5" t="inlineStr">
        <is>
          <t>30</t>
        </is>
      </c>
      <c r="B3" s="5" t="inlineStr">
        <is>
          <t>Defense obligations exceed the combined obligations of USDA, EPA, HUD, and Interior.</t>
        </is>
      </c>
      <c r="C3" s="5" t="inlineStr">
        <is>
          <t>magnitude_reported</t>
        </is>
      </c>
      <c r="D3" s="5" t="n">
        <v>2025</v>
      </c>
      <c r="E3" s="5" t="inlineStr">
        <is>
          <t>FY2025: Defense $1451.3B against $444.3B for the four-agency group (3.3 to 1).</t>
        </is>
      </c>
      <c r="F3" s="5" t="inlineStr">
        <is>
          <t>The four-agency group is an author grouping for this dashboard, not an official category. It leaves out Energy and Education on purpose so the group stays close to food, water, shelter, and land.</t>
        </is>
      </c>
    </row>
    <row r="4" ht="48" customHeight="1">
      <c r="A4" s="5" t="inlineStr">
        <is>
          <t>1</t>
        </is>
      </c>
      <c r="B4" s="5" t="inlineStr">
        <is>
          <t>HHS obligations are larger than Defense and are not treated as a livingry priority.</t>
        </is>
      </c>
      <c r="C4" s="5" t="inlineStr">
        <is>
          <t>caveat_confirmed</t>
        </is>
      </c>
      <c r="D4" s="5" t="n">
        <v>2025</v>
      </c>
      <c r="E4" s="5" t="inlineStr">
        <is>
          <t>FY2025 HHS obligations $2794.3B, mostly Medicare and Medicaid.</t>
        </is>
      </c>
      <c r="F4" s="5" t="inlineStr">
        <is>
          <t>Agency totals include mandatory spending. HHS is reported beside the group and never added into it.</t>
        </is>
      </c>
    </row>
    <row r="5" ht="48" customHeight="1">
      <c r="A5" s="5" t="inlineStr">
        <is>
          <t>1</t>
        </is>
      </c>
      <c r="B5" s="5" t="inlineStr">
        <is>
          <t>One contractor registration can be the same order of magnitude as a whole agency.</t>
        </is>
      </c>
      <c r="C5" s="5" t="inlineStr">
        <is>
          <t>magnitude_reported</t>
        </is>
      </c>
      <c r="D5" s="5" t="n">
        <v>2025</v>
      </c>
      <c r="E5" s="5" t="inlineStr">
        <is>
          <t>Largest Lockheed registration in the FY2025 top 15 (LOCKHEED MARTIN CORPORATION, UEI G4KDGE4JFFK7): $34.1B. EPA obligations the same year: $34.3B. Other Lockheed registrations in the top 15, not added: UEI XFJMYSYFJEK4 $10.4B, UEI H7PNSVNN5827 $6.1B.</t>
        </is>
      </c>
      <c r="F5" s="5" t="inlineStr">
        <is>
          <t>A recipient's contract receipts and an agency's total obligations are different kinds of quantity. The comparison is scale, not a trade-off anyone voted on.</t>
        </is>
      </c>
    </row>
    <row r="6" ht="48" customHeight="1">
      <c r="A6" s="5" t="inlineStr">
        <is>
          <t>1</t>
        </is>
      </c>
      <c r="B6" s="5" t="inlineStr">
        <is>
          <t>High average food supply and a large food-insecurity shortfall coexist in the United States.</t>
        </is>
      </c>
      <c r="C6" s="5" t="inlineStr">
        <is>
          <t>supported_as_coexistence</t>
        </is>
      </c>
      <c r="D6" s="5" t="n">
        <v>2023</v>
      </c>
      <c r="E6" s="5" t="inlineStr">
        <is>
          <t>United States food supply 3947 kcal per person per day (2023); 10.3% moderate or severe food insecurity in 2023.</t>
        </is>
      </c>
      <c r="F6" s="5" t="inlineStr">
        <is>
          <t>Coexistence is not a cause. The years may differ. The supply figure is an average and says nothing about distribution.</t>
        </is>
      </c>
    </row>
    <row r="7" ht="48" customHeight="1">
      <c r="A7" s="5" t="inlineStr">
        <is>
          <t>29</t>
        </is>
      </c>
      <c r="B7" s="5" t="inlineStr">
        <is>
          <t>Real GDP per person and the atmospheric CO2 stock rose over the same decades.</t>
        </is>
      </c>
      <c r="C7" s="5" t="inlineStr">
        <is>
          <t>descriptive_support</t>
        </is>
      </c>
      <c r="D7" s="5" t="n">
        <v>2025</v>
      </c>
      <c r="E7" s="5" t="inlineStr">
        <is>
          <t>United States GDP per capita (constant 2015 dollars): $39,200 in 1990, $67,946 in 2025. Mauna Loa annual mean, full years only: 354.5 ppm in 1990, 427.3 ppm in 2025. Latest month: 426.07 ppm in 2026-09.</t>
        </is>
      </c>
      <c r="F7" s="5" t="inlineStr">
        <is>
          <t>Shown side by side on purpose. They are not combined into an index, and neither causes the other by virtue of sharing a chart.</t>
        </is>
      </c>
    </row>
    <row r="8" ht="48" customHeight="1">
      <c r="A8" s="5" t="inlineStr">
        <is>
          <t>1</t>
        </is>
      </c>
      <c r="B8" s="5" t="inlineStr">
        <is>
          <t>Global undernourishment fell while the atmospheric CO2 stock rose.</t>
        </is>
      </c>
      <c r="C8" s="5" t="inlineStr">
        <is>
          <t>descriptive_support</t>
        </is>
      </c>
      <c r="D8" s="5" t="n">
        <v>2019</v>
      </c>
      <c r="E8" s="5" t="inlineStr">
        <is>
          <t>World undernourishment 12.8% in 2000, 7.5% in 2019, before the projection footnote. FAO marks 2020-2025 as projections; 2025 is 7.8%. Mauna Loa full-year mean 354.5 ppm in 1990, 427.3 ppm in 2025.</t>
        </is>
      </c>
      <c r="F8" s="5" t="inlineStr">
        <is>
          <t>This is the manuscript's own concession, not a rebuttal of it: a flow can improve while a stock deteriorates. FAO's whole undernourishment series is estimated, and years marked as projections are not used as the endpoint.</t>
        </is>
      </c>
    </row>
    <row r="9" ht="48" customHeight="1">
      <c r="A9" s="5" t="inlineStr">
        <is>
          <t>29</t>
        </is>
      </c>
      <c r="B9" s="5" t="inlineStr">
        <is>
          <t>FAO does not publish a United States undernourishment rate. It publishes a floor.</t>
        </is>
      </c>
      <c r="C9" s="5" t="inlineStr">
        <is>
          <t>censored_at_floor</t>
        </is>
      </c>
      <c r="D9" s="5" t="n">
        <v>2024</v>
      </c>
      <c r="E9" s="5" t="inlineStr">
        <is>
          <t>SDG 2.1.1 for the United States is '&lt;2.5' in 2024, and the same floor in 24 years of this pull.</t>
        </is>
      </c>
      <c r="F9" s="5" t="inlineStr">
        <is>
          <t>Below 2.5% is not a measurement of 2.5%, and it is not evidence that hunger is gone. The United States shortfall on this dashboard is SDG 2.1.2 food insecurity.</t>
        </is>
      </c>
    </row>
    <row r="10" ht="48" customHeight="1">
      <c r="A10" s="5" t="inlineStr">
        <is>
          <t>13</t>
        </is>
      </c>
      <c r="B10" s="5" t="inlineStr">
        <is>
          <t>Land required per 100g of protein differs by more than an order of magnitude across foods.</t>
        </is>
      </c>
      <c r="C10" s="5" t="inlineStr">
        <is>
          <t>magnitude_reported</t>
        </is>
      </c>
      <c r="D10" s="5" t="n">
        <v>2010</v>
      </c>
      <c r="E10" s="5" t="inlineStr">
        <is>
          <t>Highest in the table: Lamb &amp; Mutton at 184.8 m2 per 100g protein. Lowest: Prawns (farmed) at 2.01 m2 (92 to 1). Beef herd 163.6 m2 against tofu 2.2 m2 (74 to 1).</t>
        </is>
      </c>
      <c r="F10" s="5" t="inlineStr">
        <is>
          <t>Poore and Nemecek, Science, 2018, via Our World in Data. The grapher year is 2010. A published cross-section, not a live feed. Per protein, not per calorie. Farmed prawns sit at the bottom because the metric is land, which does not count the feed, water, and energy that metric leaves out.</t>
        </is>
      </c>
    </row>
    <row r="11" ht="48" customHeight="1">
      <c r="A11" s="5" t="inlineStr">
        <is>
          <t>30</t>
        </is>
      </c>
      <c r="B11" s="5" t="inlineStr">
        <is>
          <t>United States military expenditure is a few percent of GDP.</t>
        </is>
      </c>
      <c r="C11" s="5" t="inlineStr">
        <is>
          <t>magnitude_reported</t>
        </is>
      </c>
      <c r="D11" s="5" t="n">
        <v>2025</v>
      </c>
      <c r="E11" s="5" t="inlineStr">
        <is>
          <t>SIPRI via Our World in Data: 3.12% of GDP in 2025.</t>
        </is>
      </c>
      <c r="F11" s="5" t="inlineStr">
        <is>
          <t>This is a share of GDP. It is not comparable to the USAspending obligation figures above, and the two are never placed in one ratio.</t>
        </is>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62" customWidth="1" min="1" max="1"/>
    <col width="16" customWidth="1" min="2" max="2"/>
    <col width="28" customWidth="1" min="3" max="3"/>
    <col width="24" customWidth="1" min="4" max="4"/>
  </cols>
  <sheetData>
    <row r="1">
      <c r="A1" s="4" t="inlineStr">
        <is>
          <t>Agency</t>
        </is>
      </c>
      <c r="B1" s="4" t="inlineStr">
        <is>
          <t>Group</t>
        </is>
      </c>
      <c r="C1" s="4" t="inlineStr">
        <is>
          <t>FY2025 obligations</t>
        </is>
      </c>
      <c r="D1" s="4" t="inlineStr">
        <is>
          <t>Share of these eight</t>
        </is>
      </c>
    </row>
    <row r="2">
      <c r="A2" t="inlineStr">
        <is>
          <t>Department of Health and Human Services</t>
        </is>
      </c>
      <c r="B2" t="inlineStr">
        <is>
          <t>mixed</t>
        </is>
      </c>
      <c r="C2" s="6" t="n">
        <v>2794349803088.6</v>
      </c>
      <c r="D2" s="7">
        <f>C2/SUM($C$2:$C$9)</f>
        <v/>
      </c>
    </row>
    <row r="3">
      <c r="A3" t="inlineStr">
        <is>
          <t>Department of Defense</t>
        </is>
      </c>
      <c r="B3" t="inlineStr">
        <is>
          <t>weaponry</t>
        </is>
      </c>
      <c r="C3" s="6" t="n">
        <v>1451320548889.53</v>
      </c>
      <c r="D3" s="7">
        <f>C3/SUM($C$2:$C$9)</f>
        <v/>
      </c>
    </row>
    <row r="4">
      <c r="A4" t="inlineStr">
        <is>
          <t>Department of Agriculture</t>
        </is>
      </c>
      <c r="B4" t="inlineStr">
        <is>
          <t>livingry</t>
        </is>
      </c>
      <c r="C4" s="6" t="n">
        <v>276630012349.95</v>
      </c>
      <c r="D4" s="7">
        <f>C4/SUM($C$2:$C$9)</f>
        <v/>
      </c>
    </row>
    <row r="5">
      <c r="A5" t="inlineStr">
        <is>
          <t>Department of Education</t>
        </is>
      </c>
      <c r="B5" t="inlineStr">
        <is>
          <t>provision</t>
        </is>
      </c>
      <c r="C5" s="6" t="n">
        <v>179690157931.34</v>
      </c>
      <c r="D5" s="7">
        <f>C5/SUM($C$2:$C$9)</f>
        <v/>
      </c>
    </row>
    <row r="6">
      <c r="A6" t="inlineStr">
        <is>
          <t>Department of Energy</t>
        </is>
      </c>
      <c r="B6" t="inlineStr">
        <is>
          <t>energy</t>
        </is>
      </c>
      <c r="C6" s="6" t="n">
        <v>98524875710.33</v>
      </c>
      <c r="D6" s="7">
        <f>C6/SUM($C$2:$C$9)</f>
        <v/>
      </c>
    </row>
    <row r="7">
      <c r="A7" t="inlineStr">
        <is>
          <t>Department of Housing and Urban Development</t>
        </is>
      </c>
      <c r="B7" t="inlineStr">
        <is>
          <t>livingry</t>
        </is>
      </c>
      <c r="C7" s="6" t="n">
        <v>90532059832.78</v>
      </c>
      <c r="D7" s="7">
        <f>C7/SUM($C$2:$C$9)</f>
        <v/>
      </c>
    </row>
    <row r="8">
      <c r="A8" t="inlineStr">
        <is>
          <t>Department of the Interior</t>
        </is>
      </c>
      <c r="B8" t="inlineStr">
        <is>
          <t>livingry</t>
        </is>
      </c>
      <c r="C8" s="6" t="n">
        <v>42848868679.89</v>
      </c>
      <c r="D8" s="7">
        <f>C8/SUM($C$2:$C$9)</f>
        <v/>
      </c>
    </row>
    <row r="9">
      <c r="A9" t="inlineStr">
        <is>
          <t>Environmental Protection Agency</t>
        </is>
      </c>
      <c r="B9" t="inlineStr">
        <is>
          <t>livingry</t>
        </is>
      </c>
      <c r="C9" s="6" t="n">
        <v>34262577412.72</v>
      </c>
      <c r="D9" s="7">
        <f>C9/SUM($C$2:$C$9)</f>
        <v/>
      </c>
    </row>
    <row r="11">
      <c r="A11" s="8" t="inlineStr">
        <is>
          <t>Author group: USDA, EPA, HUD, Interior</t>
        </is>
      </c>
      <c r="C11" s="6">
        <f>SUMIF(A2:A9,"Department of Agriculture",C2:C9)+SUMIF(A2:A9,"Environmental Protection Agency",C2:C9)+SUMIF(A2:A9,"Department of Housing and Urban Development",C2:C9)+SUMIF(A2:A9,"Department of the Interior",C2:C9)</f>
        <v/>
      </c>
    </row>
    <row r="12">
      <c r="A12" s="9" t="inlineStr">
        <is>
          <t>Defense divided by that group</t>
        </is>
      </c>
      <c r="C12" s="10">
        <f>SUMIF(A2:A9,"Department of Defense",C2:C9)/C11</f>
        <v/>
      </c>
    </row>
    <row r="14">
      <c r="A14" s="3" t="inlineStr">
        <is>
          <t>HHS is on the list above and is not in the group. Most of it is mandatory.</t>
        </is>
      </c>
    </row>
  </sheetData>
  <autoFilter ref="A1:D1"/>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20" customWidth="1" min="1" max="1"/>
    <col width="42" customWidth="1" min="2" max="2"/>
    <col width="10" customWidth="1" min="3" max="3"/>
    <col width="16" customWidth="1" min="4" max="4"/>
    <col width="32" customWidth="1" min="5" max="5"/>
    <col width="55" customWidth="1" min="6" max="6"/>
  </cols>
  <sheetData>
    <row r="1">
      <c r="A1" s="4" t="inlineStr">
        <is>
          <t>Place</t>
        </is>
      </c>
      <c r="B1" s="4" t="inlineStr">
        <is>
          <t>Indicator</t>
        </is>
      </c>
      <c r="C1" s="4" t="inlineStr">
        <is>
          <t>Year</t>
        </is>
      </c>
      <c r="D1" s="4" t="inlineStr">
        <is>
          <t>Value</t>
        </is>
      </c>
      <c r="E1" s="4" t="inlineStr">
        <is>
          <t>Unit</t>
        </is>
      </c>
      <c r="F1" s="4" t="inlineStr">
        <is>
          <t>Source</t>
        </is>
      </c>
    </row>
    <row r="2">
      <c r="A2" t="inlineStr">
        <is>
          <t>United States</t>
        </is>
      </c>
      <c r="B2" t="inlineStr">
        <is>
          <t>daily_calorie_supply</t>
        </is>
      </c>
      <c r="C2" t="n">
        <v>2023</v>
      </c>
      <c r="D2" s="11" t="n">
        <v>3947.3303</v>
      </c>
      <c r="E2" t="inlineStr">
        <is>
          <t>kcal per person per day</t>
        </is>
      </c>
      <c r="F2" t="inlineStr">
        <is>
          <t>Our World in Data, FAO food balances</t>
        </is>
      </c>
    </row>
    <row r="3">
      <c r="A3" t="inlineStr">
        <is>
          <t>World</t>
        </is>
      </c>
      <c r="B3" t="inlineStr">
        <is>
          <t>daily_calorie_supply</t>
        </is>
      </c>
      <c r="C3" t="n">
        <v>2023</v>
      </c>
      <c r="D3" s="11" t="n">
        <v>3005.6204</v>
      </c>
      <c r="E3" t="inlineStr">
        <is>
          <t>kcal per person per day</t>
        </is>
      </c>
      <c r="F3" t="inlineStr">
        <is>
          <t>Our World in Data, FAO food balances</t>
        </is>
      </c>
    </row>
    <row r="4">
      <c r="A4" t="inlineStr">
        <is>
          <t>United States</t>
        </is>
      </c>
      <c r="B4" t="inlineStr">
        <is>
          <t>electricity_access</t>
        </is>
      </c>
      <c r="C4" t="n">
        <v>2024</v>
      </c>
      <c r="D4" s="11" t="n">
        <v>100</v>
      </c>
      <c r="E4" t="inlineStr">
        <is>
          <t>percent of population</t>
        </is>
      </c>
      <c r="F4" t="inlineStr">
        <is>
          <t>World Bank electricity_access</t>
        </is>
      </c>
    </row>
    <row r="5">
      <c r="A5" t="inlineStr">
        <is>
          <t>World</t>
        </is>
      </c>
      <c r="B5" t="inlineStr">
        <is>
          <t>electricity_access</t>
        </is>
      </c>
      <c r="C5" t="n">
        <v>2024</v>
      </c>
      <c r="D5" s="11" t="n">
        <v>91.9264843853681</v>
      </c>
      <c r="E5" t="inlineStr">
        <is>
          <t>percent of population</t>
        </is>
      </c>
      <c r="F5" t="inlineStr">
        <is>
          <t>World Bank electricity_access</t>
        </is>
      </c>
    </row>
    <row r="6">
      <c r="A6" t="inlineStr">
        <is>
          <t>United States</t>
        </is>
      </c>
      <c r="B6" t="inlineStr">
        <is>
          <t>energy_use_per_capita</t>
        </is>
      </c>
      <c r="C6" t="n">
        <v>2025</v>
      </c>
      <c r="D6" s="11" t="n">
        <v>75051.33</v>
      </c>
      <c r="E6" t="inlineStr">
        <is>
          <t>kWh per person per year</t>
        </is>
      </c>
      <c r="F6" t="inlineStr">
        <is>
          <t>Our World in Data (primary energy, kilowatt-hours per person)</t>
        </is>
      </c>
    </row>
    <row r="7">
      <c r="A7" t="inlineStr">
        <is>
          <t>World</t>
        </is>
      </c>
      <c r="B7" t="inlineStr">
        <is>
          <t>energy_use_per_capita</t>
        </is>
      </c>
      <c r="C7" t="n">
        <v>2025</v>
      </c>
      <c r="D7" s="11" t="n">
        <v>20257.705</v>
      </c>
      <c r="E7" t="inlineStr">
        <is>
          <t>kWh per person per year</t>
        </is>
      </c>
      <c r="F7" t="inlineStr">
        <is>
          <t>Our World in Data (primary energy, kilowatt-hours per person)</t>
        </is>
      </c>
    </row>
    <row r="8">
      <c r="A8" t="inlineStr">
        <is>
          <t>United States</t>
        </is>
      </c>
      <c r="B8" t="inlineStr">
        <is>
          <t>food_insecurity_moderate_or_severe</t>
        </is>
      </c>
      <c r="C8" t="n">
        <v>2023</v>
      </c>
      <c r="D8" s="11" t="n">
        <v>10.3</v>
      </c>
      <c r="E8" t="inlineStr">
        <is>
          <t>percent of population</t>
        </is>
      </c>
      <c r="F8" t="inlineStr">
        <is>
          <t>Our World in Data, FAO Food Insecurity Experience Scale (SDG 2.1.2)</t>
        </is>
      </c>
    </row>
    <row r="9">
      <c r="A9" t="inlineStr">
        <is>
          <t>World</t>
        </is>
      </c>
      <c r="B9" t="inlineStr">
        <is>
          <t>food_insecurity_moderate_or_severe</t>
        </is>
      </c>
      <c r="C9" t="n">
        <v>2023</v>
      </c>
      <c r="D9" s="11" t="n">
        <v>28.3</v>
      </c>
      <c r="E9" t="inlineStr">
        <is>
          <t>percent of population</t>
        </is>
      </c>
      <c r="F9" t="inlineStr">
        <is>
          <t>Our World in Data, FAO Food Insecurity Experience Scale (SDG 2.1.2)</t>
        </is>
      </c>
    </row>
    <row r="10">
      <c r="A10" t="inlineStr">
        <is>
          <t>United States</t>
        </is>
      </c>
      <c r="B10" t="inlineStr">
        <is>
          <t>safely_managed_water</t>
        </is>
      </c>
      <c r="C10" t="n">
        <v>2024</v>
      </c>
      <c r="D10" s="11" t="n">
        <v>97.56768844373249</v>
      </c>
      <c r="E10" t="inlineStr">
        <is>
          <t>percent of population</t>
        </is>
      </c>
      <c r="F10" t="inlineStr">
        <is>
          <t>World Bank safe_water</t>
        </is>
      </c>
    </row>
    <row r="11">
      <c r="A11" t="inlineStr">
        <is>
          <t>World</t>
        </is>
      </c>
      <c r="B11" t="inlineStr">
        <is>
          <t>safely_managed_water</t>
        </is>
      </c>
      <c r="C11" t="n">
        <v>2024</v>
      </c>
      <c r="D11" s="11" t="n">
        <v>73.6686144265244</v>
      </c>
      <c r="E11" t="inlineStr">
        <is>
          <t>percent of population</t>
        </is>
      </c>
      <c r="F11" t="inlineStr">
        <is>
          <t>World Bank safe_water</t>
        </is>
      </c>
    </row>
    <row r="12">
      <c r="A12" t="inlineStr">
        <is>
          <t>World</t>
        </is>
      </c>
      <c r="B12" t="inlineStr">
        <is>
          <t>undernourishment</t>
        </is>
      </c>
      <c r="C12" t="n">
        <v>2025</v>
      </c>
      <c r="D12" s="11" t="n">
        <v>7.8</v>
      </c>
      <c r="E12" t="inlineStr">
        <is>
          <t>percent of population</t>
        </is>
      </c>
      <c r="F12" t="inlineStr">
        <is>
          <t>UN SDG API, FAO prevalence of undernourishment (SDG 2.1.1)</t>
        </is>
      </c>
    </row>
  </sheetData>
  <autoFilter ref="A1:F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7"/>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36" customWidth="1" min="3" max="3"/>
  </cols>
  <sheetData>
    <row r="1">
      <c r="A1" s="4" t="inlineStr">
        <is>
          <t>Year</t>
        </is>
      </c>
      <c r="B1" s="4" t="inlineStr">
        <is>
          <t>US GDP per capita, constant 2015 $</t>
        </is>
      </c>
      <c r="C1" s="4" t="inlineStr">
        <is>
          <t>Mauna Loa annual mean, ppm</t>
        </is>
      </c>
    </row>
    <row r="2">
      <c r="A2" t="n">
        <v>1960</v>
      </c>
      <c r="B2" s="6" t="n">
        <v>18991.5445998554</v>
      </c>
      <c r="C2" s="12" t="n">
        <v>316.9083333333334</v>
      </c>
      <c r="E2" s="3" t="inlineStr">
        <is>
          <t>Two columns. No ratio, no index.</t>
        </is>
      </c>
    </row>
    <row r="3">
      <c r="A3" t="n">
        <v>1961</v>
      </c>
      <c r="B3" s="6" t="n">
        <v>19108.9353618196</v>
      </c>
      <c r="C3" s="12" t="n">
        <v>317.6433333333334</v>
      </c>
    </row>
    <row r="4">
      <c r="A4" t="n">
        <v>1962</v>
      </c>
      <c r="B4" s="6" t="n">
        <v>19965.1435740168</v>
      </c>
      <c r="C4" s="12" t="n">
        <v>318.4533333333333</v>
      </c>
    </row>
    <row r="5">
      <c r="A5" t="n">
        <v>1963</v>
      </c>
      <c r="B5" s="6" t="n">
        <v>20545.7842448928</v>
      </c>
      <c r="C5" s="12" t="n">
        <v>318.9925</v>
      </c>
    </row>
    <row r="6">
      <c r="A6" t="n">
        <v>1964</v>
      </c>
      <c r="B6" s="6" t="n">
        <v>21437.5840707345</v>
      </c>
      <c r="C6" s="12" t="n">
        <v>319.62</v>
      </c>
    </row>
    <row r="7">
      <c r="A7" t="n">
        <v>1965</v>
      </c>
      <c r="B7" s="6" t="n">
        <v>22526.2055153932</v>
      </c>
      <c r="C7" s="12" t="n">
        <v>320.0366666666667</v>
      </c>
    </row>
    <row r="8">
      <c r="A8" t="n">
        <v>1966</v>
      </c>
      <c r="B8" s="6" t="n">
        <v>23714.9390303358</v>
      </c>
      <c r="C8" s="12" t="n">
        <v>321.3675</v>
      </c>
    </row>
    <row r="9">
      <c r="A9" t="n">
        <v>1967</v>
      </c>
      <c r="B9" s="6" t="n">
        <v>24044.5651288028</v>
      </c>
      <c r="C9" s="12" t="n">
        <v>322.1791666666667</v>
      </c>
    </row>
    <row r="10">
      <c r="A10" t="n">
        <v>1968</v>
      </c>
      <c r="B10" s="6" t="n">
        <v>24948.3569003897</v>
      </c>
      <c r="C10" s="12" t="n">
        <v>323.05</v>
      </c>
    </row>
    <row r="11">
      <c r="A11" t="n">
        <v>1969</v>
      </c>
      <c r="B11" s="6" t="n">
        <v>25471.6161794352</v>
      </c>
      <c r="C11" s="12" t="n">
        <v>324.6208333333333</v>
      </c>
    </row>
    <row r="12">
      <c r="A12" t="n">
        <v>1970</v>
      </c>
      <c r="B12" s="6" t="n">
        <v>25231.1271587521</v>
      </c>
      <c r="C12" s="12" t="n">
        <v>325.6816666666667</v>
      </c>
    </row>
    <row r="13">
      <c r="A13" t="n">
        <v>1971</v>
      </c>
      <c r="B13" s="6" t="n">
        <v>25734.4828317751</v>
      </c>
      <c r="C13" s="12" t="n">
        <v>326.32</v>
      </c>
    </row>
    <row r="14">
      <c r="A14" t="n">
        <v>1972</v>
      </c>
      <c r="B14" s="6" t="n">
        <v>26798.5336106847</v>
      </c>
      <c r="C14" s="12" t="n">
        <v>327.4566666666666</v>
      </c>
    </row>
    <row r="15">
      <c r="A15" t="n">
        <v>1973</v>
      </c>
      <c r="B15" s="6" t="n">
        <v>28042.5519181903</v>
      </c>
      <c r="C15" s="12" t="n">
        <v>329.6816666666667</v>
      </c>
    </row>
    <row r="16">
      <c r="A16" t="n">
        <v>1974</v>
      </c>
      <c r="B16" s="6" t="n">
        <v>27637.2997756103</v>
      </c>
      <c r="C16" s="12" t="n">
        <v>330.1933333333333</v>
      </c>
    </row>
    <row r="17">
      <c r="A17" t="n">
        <v>1975</v>
      </c>
      <c r="B17" s="6" t="n">
        <v>27309.8688183059</v>
      </c>
      <c r="C17" s="12" t="n">
        <v>331.1275</v>
      </c>
    </row>
    <row r="18">
      <c r="A18" t="n">
        <v>1976</v>
      </c>
      <c r="B18" s="6" t="n">
        <v>28509.1430593189</v>
      </c>
      <c r="C18" s="12" t="n">
        <v>332.0258333333333</v>
      </c>
    </row>
    <row r="19">
      <c r="A19" t="n">
        <v>1977</v>
      </c>
      <c r="B19" s="6" t="n">
        <v>29528.9663682275</v>
      </c>
      <c r="C19" s="12" t="n">
        <v>333.8441666666667</v>
      </c>
    </row>
    <row r="20">
      <c r="A20" t="n">
        <v>1978</v>
      </c>
      <c r="B20" s="6" t="n">
        <v>30834.9992322862</v>
      </c>
      <c r="C20" s="12" t="n">
        <v>335.415</v>
      </c>
    </row>
    <row r="21">
      <c r="A21" t="n">
        <v>1979</v>
      </c>
      <c r="B21" s="6" t="n">
        <v>31462.1003882108</v>
      </c>
      <c r="C21" s="12" t="n">
        <v>336.835</v>
      </c>
    </row>
    <row r="22">
      <c r="A22" t="n">
        <v>1980</v>
      </c>
      <c r="B22" s="6" t="n">
        <v>31081.6216322106</v>
      </c>
      <c r="C22" s="12" t="n">
        <v>338.7625</v>
      </c>
    </row>
    <row r="23">
      <c r="A23" t="n">
        <v>1981</v>
      </c>
      <c r="B23" s="6" t="n">
        <v>31559.1293376105</v>
      </c>
      <c r="C23" s="12" t="n">
        <v>340.12</v>
      </c>
    </row>
    <row r="24">
      <c r="A24" t="n">
        <v>1982</v>
      </c>
      <c r="B24" s="6" t="n">
        <v>30696.0834382608</v>
      </c>
      <c r="C24" s="12" t="n">
        <v>341.4783333333333</v>
      </c>
    </row>
    <row r="25">
      <c r="A25" t="n">
        <v>1983</v>
      </c>
      <c r="B25" s="6" t="n">
        <v>31810.9216076638</v>
      </c>
      <c r="C25" s="12" t="n">
        <v>343.1525</v>
      </c>
    </row>
    <row r="26">
      <c r="A26" t="n">
        <v>1984</v>
      </c>
      <c r="B26" s="6" t="n">
        <v>33818.823551545</v>
      </c>
      <c r="C26" s="12" t="n">
        <v>344.8666666666666</v>
      </c>
    </row>
    <row r="27">
      <c r="A27" t="n">
        <v>1985</v>
      </c>
      <c r="B27" s="6" t="n">
        <v>34918.1302039172</v>
      </c>
      <c r="C27" s="12" t="n">
        <v>346.3516666666667</v>
      </c>
    </row>
    <row r="28">
      <c r="A28" t="n">
        <v>1986</v>
      </c>
      <c r="B28" s="6" t="n">
        <v>35794.8877746784</v>
      </c>
      <c r="C28" s="12" t="n">
        <v>347.6075</v>
      </c>
    </row>
    <row r="29">
      <c r="A29" t="n">
        <v>1987</v>
      </c>
      <c r="B29" s="6" t="n">
        <v>36701.9453874612</v>
      </c>
      <c r="C29" s="12" t="n">
        <v>349.3116666666667</v>
      </c>
    </row>
    <row r="30">
      <c r="A30" t="n">
        <v>1988</v>
      </c>
      <c r="B30" s="6" t="n">
        <v>37889.3773459827</v>
      </c>
      <c r="C30" s="12" t="n">
        <v>351.69</v>
      </c>
    </row>
    <row r="31">
      <c r="A31" t="n">
        <v>1989</v>
      </c>
      <c r="B31" s="6" t="n">
        <v>38911.5418959959</v>
      </c>
      <c r="C31" s="12" t="n">
        <v>353.205</v>
      </c>
    </row>
    <row r="32">
      <c r="A32" t="n">
        <v>1990</v>
      </c>
      <c r="B32" s="6" t="n">
        <v>39200.0658091762</v>
      </c>
      <c r="C32" s="12" t="n">
        <v>354.4525</v>
      </c>
    </row>
    <row r="33">
      <c r="A33" t="n">
        <v>1991</v>
      </c>
      <c r="B33" s="6" t="n">
        <v>38637.8398179104</v>
      </c>
      <c r="C33" s="12" t="n">
        <v>355.7041666666667</v>
      </c>
    </row>
    <row r="34">
      <c r="A34" t="n">
        <v>1992</v>
      </c>
      <c r="B34" s="6" t="n">
        <v>39447.9472850606</v>
      </c>
      <c r="C34" s="12" t="n">
        <v>356.545</v>
      </c>
    </row>
    <row r="35">
      <c r="A35" t="n">
        <v>1993</v>
      </c>
      <c r="B35" s="6" t="n">
        <v>40002.4762253198</v>
      </c>
      <c r="C35" s="12" t="n">
        <v>357.215</v>
      </c>
    </row>
    <row r="36">
      <c r="A36" t="n">
        <v>1994</v>
      </c>
      <c r="B36" s="6" t="n">
        <v>41106.9881833481</v>
      </c>
      <c r="C36" s="12" t="n">
        <v>358.9591666666667</v>
      </c>
    </row>
    <row r="37">
      <c r="A37" t="n">
        <v>1995</v>
      </c>
      <c r="B37" s="6" t="n">
        <v>41710.8207256668</v>
      </c>
      <c r="C37" s="12" t="n">
        <v>360.9683333333333</v>
      </c>
    </row>
    <row r="38">
      <c r="A38" t="n">
        <v>1996</v>
      </c>
      <c r="B38" s="6" t="n">
        <v>42783.8165724095</v>
      </c>
      <c r="C38" s="12" t="n">
        <v>362.7433333333333</v>
      </c>
    </row>
    <row r="39">
      <c r="A39" t="n">
        <v>1997</v>
      </c>
      <c r="B39" s="6" t="n">
        <v>44151.6860410035</v>
      </c>
      <c r="C39" s="12" t="n">
        <v>363.8766666666666</v>
      </c>
    </row>
    <row r="40">
      <c r="A40" t="n">
        <v>1998</v>
      </c>
      <c r="B40" s="6" t="n">
        <v>45596.4306879224</v>
      </c>
      <c r="C40" s="12" t="n">
        <v>366.84</v>
      </c>
    </row>
    <row r="41">
      <c r="A41" t="n">
        <v>1999</v>
      </c>
      <c r="B41" s="6" t="n">
        <v>47234.2455290381</v>
      </c>
      <c r="C41" s="12" t="n">
        <v>368.54</v>
      </c>
    </row>
    <row r="42">
      <c r="A42" t="n">
        <v>2000</v>
      </c>
      <c r="B42" s="6" t="n">
        <v>48616.2546282435</v>
      </c>
      <c r="C42" s="12" t="n">
        <v>369.7075</v>
      </c>
    </row>
    <row r="43">
      <c r="A43" t="n">
        <v>2001</v>
      </c>
      <c r="B43" s="6" t="n">
        <v>48597.4246124122</v>
      </c>
      <c r="C43" s="12" t="n">
        <v>371.3191666666667</v>
      </c>
    </row>
    <row r="44">
      <c r="A44" t="n">
        <v>2002</v>
      </c>
      <c r="B44" s="6" t="n">
        <v>48967.3661217576</v>
      </c>
      <c r="C44" s="12" t="n">
        <v>373.4525</v>
      </c>
    </row>
    <row r="45">
      <c r="A45" t="n">
        <v>2003</v>
      </c>
      <c r="B45" s="6" t="n">
        <v>49905.5233080788</v>
      </c>
      <c r="C45" s="12" t="n">
        <v>375.9833333333333</v>
      </c>
    </row>
    <row r="46">
      <c r="A46" t="n">
        <v>2004</v>
      </c>
      <c r="B46" s="6" t="n">
        <v>51348.3473386025</v>
      </c>
      <c r="C46" s="12" t="n">
        <v>377.6983333333333</v>
      </c>
    </row>
    <row r="47">
      <c r="A47" t="n">
        <v>2005</v>
      </c>
      <c r="B47" s="6" t="n">
        <v>52649.5713060461</v>
      </c>
      <c r="C47" s="12" t="n">
        <v>379.9833333333333</v>
      </c>
    </row>
    <row r="48">
      <c r="A48" t="n">
        <v>2006</v>
      </c>
      <c r="B48" s="6" t="n">
        <v>53596.315236412</v>
      </c>
      <c r="C48" s="12" t="n">
        <v>382.0908333333334</v>
      </c>
    </row>
    <row r="49">
      <c r="A49" t="n">
        <v>2007</v>
      </c>
      <c r="B49" s="6" t="n">
        <v>54152.8292673551</v>
      </c>
      <c r="C49" s="12" t="n">
        <v>384.025</v>
      </c>
    </row>
    <row r="50">
      <c r="A50" t="n">
        <v>2008</v>
      </c>
      <c r="B50" s="6" t="n">
        <v>53703.962897927</v>
      </c>
      <c r="C50" s="12" t="n">
        <v>385.8325</v>
      </c>
    </row>
    <row r="51">
      <c r="A51" t="n">
        <v>2009</v>
      </c>
      <c r="B51" s="6" t="n">
        <v>51863.6183416558</v>
      </c>
      <c r="C51" s="12" t="n">
        <v>387.6425</v>
      </c>
    </row>
    <row r="52">
      <c r="A52" t="n">
        <v>2010</v>
      </c>
      <c r="B52" s="6" t="n">
        <v>52812.6829869279</v>
      </c>
      <c r="C52" s="12" t="n">
        <v>390.1016666666667</v>
      </c>
    </row>
    <row r="53">
      <c r="A53" t="n">
        <v>2011</v>
      </c>
      <c r="B53" s="6" t="n">
        <v>53215.5362314388</v>
      </c>
      <c r="C53" s="12" t="n">
        <v>391.8508333333334</v>
      </c>
    </row>
    <row r="54">
      <c r="A54" t="n">
        <v>2012</v>
      </c>
      <c r="B54" s="6" t="n">
        <v>54000.8410778217</v>
      </c>
      <c r="C54" s="12" t="n">
        <v>394.0558333333333</v>
      </c>
    </row>
    <row r="55">
      <c r="A55" t="n">
        <v>2013</v>
      </c>
      <c r="B55" s="6" t="n">
        <v>54728.860179812</v>
      </c>
      <c r="C55" s="12" t="n">
        <v>396.7375</v>
      </c>
    </row>
    <row r="56">
      <c r="A56" t="n">
        <v>2014</v>
      </c>
      <c r="B56" s="6" t="n">
        <v>55665.2411187802</v>
      </c>
      <c r="C56" s="12" t="n">
        <v>398.8125</v>
      </c>
    </row>
    <row r="57">
      <c r="A57" t="n">
        <v>2015</v>
      </c>
      <c r="B57" s="6" t="n">
        <v>56849.4697923159</v>
      </c>
      <c r="C57" s="12" t="n">
        <v>401.0125</v>
      </c>
    </row>
    <row r="58">
      <c r="A58" t="n">
        <v>2016</v>
      </c>
      <c r="B58" s="6" t="n">
        <v>57430.8499298804</v>
      </c>
      <c r="C58" s="12" t="n">
        <v>404.4125</v>
      </c>
    </row>
    <row r="59">
      <c r="A59" t="n">
        <v>2017</v>
      </c>
      <c r="B59" s="6" t="n">
        <v>58435.9707535619</v>
      </c>
      <c r="C59" s="12" t="n">
        <v>406.7583333333334</v>
      </c>
    </row>
    <row r="60">
      <c r="A60" t="n">
        <v>2018</v>
      </c>
      <c r="B60" s="6" t="n">
        <v>59817.6556798612</v>
      </c>
      <c r="C60" s="12" t="n">
        <v>408.715</v>
      </c>
    </row>
    <row r="61">
      <c r="A61" t="n">
        <v>2019</v>
      </c>
      <c r="B61" s="6" t="n">
        <v>61047.9648238812</v>
      </c>
      <c r="C61" s="12" t="n">
        <v>411.6491666666666</v>
      </c>
    </row>
    <row r="62">
      <c r="A62" t="n">
        <v>2020</v>
      </c>
      <c r="B62" s="6" t="n">
        <v>59533.609024416</v>
      </c>
      <c r="C62" s="12" t="n">
        <v>414.2133333333334</v>
      </c>
    </row>
    <row r="63">
      <c r="A63" t="n">
        <v>2021</v>
      </c>
      <c r="B63" s="6" t="n">
        <v>63096.7856149746</v>
      </c>
      <c r="C63" s="12" t="n">
        <v>416.4141666666667</v>
      </c>
    </row>
    <row r="64">
      <c r="A64" t="n">
        <v>2022</v>
      </c>
      <c r="B64" s="6" t="n">
        <v>64322.2332819139</v>
      </c>
      <c r="C64" s="12" t="n">
        <v>418.5283333333334</v>
      </c>
    </row>
    <row r="65">
      <c r="A65" t="n">
        <v>2023</v>
      </c>
      <c r="B65" s="6" t="n">
        <v>65667.281580468</v>
      </c>
      <c r="C65" s="12" t="n">
        <v>421.08</v>
      </c>
    </row>
    <row r="66">
      <c r="A66" t="n">
        <v>2024</v>
      </c>
      <c r="B66" s="6" t="n">
        <v>66856.5131698371</v>
      </c>
      <c r="C66" s="12" t="n">
        <v>424.6041666666667</v>
      </c>
    </row>
    <row r="67">
      <c r="A67" t="n">
        <v>2025</v>
      </c>
      <c r="B67" s="6" t="n">
        <v>67945.6146497427</v>
      </c>
      <c r="C67" s="12" t="n">
        <v>427.3491666666666</v>
      </c>
    </row>
  </sheetData>
  <autoFilter ref="A1:C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3"/>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24" customWidth="1" min="3" max="3"/>
    <col width="55" customWidth="1" min="4" max="4"/>
  </cols>
  <sheetData>
    <row r="1">
      <c r="A1" s="4" t="inlineStr">
        <is>
          <t>Food</t>
        </is>
      </c>
      <c r="B1" s="4" t="inlineStr">
        <is>
          <t>Year</t>
        </is>
      </c>
      <c r="C1" s="4" t="inlineStr">
        <is>
          <t>m2 per 100g protein</t>
        </is>
      </c>
      <c r="D1" s="4" t="inlineStr">
        <is>
          <t>Source</t>
        </is>
      </c>
    </row>
    <row r="2">
      <c r="A2" t="inlineStr">
        <is>
          <t>Lamb &amp; Mutton</t>
        </is>
      </c>
      <c r="B2" t="n">
        <v>2010</v>
      </c>
      <c r="C2" s="11" t="n">
        <v>184.81259</v>
      </c>
      <c r="D2" t="inlineStr">
        <is>
          <t>Poore and Nemecek 2018, via Our World in Data</t>
        </is>
      </c>
    </row>
    <row r="3">
      <c r="A3" t="inlineStr">
        <is>
          <t>Beef (beef herd)</t>
        </is>
      </c>
      <c r="B3" t="n">
        <v>2010</v>
      </c>
      <c r="C3" s="11" t="n">
        <v>163.5958</v>
      </c>
      <c r="D3" t="inlineStr">
        <is>
          <t>Poore and Nemecek 2018, via Our World in Data</t>
        </is>
      </c>
    </row>
    <row r="4">
      <c r="A4" t="inlineStr">
        <is>
          <t>Dark Chocolate</t>
        </is>
      </c>
      <c r="B4" t="n">
        <v>2010</v>
      </c>
      <c r="C4" s="11" t="n">
        <v>137.92</v>
      </c>
      <c r="D4" t="inlineStr">
        <is>
          <t>Poore and Nemecek 2018, via Our World in Data</t>
        </is>
      </c>
    </row>
    <row r="5">
      <c r="A5" t="inlineStr">
        <is>
          <t>Cheese</t>
        </is>
      </c>
      <c r="B5" t="n">
        <v>2010</v>
      </c>
      <c r="C5" s="11" t="n">
        <v>39.759964</v>
      </c>
      <c r="D5" t="inlineStr">
        <is>
          <t>Poore and Nemecek 2018, via Our World in Data</t>
        </is>
      </c>
    </row>
    <row r="6">
      <c r="A6" t="inlineStr">
        <is>
          <t>Milk</t>
        </is>
      </c>
      <c r="B6" t="n">
        <v>2010</v>
      </c>
      <c r="C6" s="11" t="n">
        <v>27.121212</v>
      </c>
      <c r="D6" t="inlineStr">
        <is>
          <t>Poore and Nemecek 2018, via Our World in Data</t>
        </is>
      </c>
    </row>
    <row r="7">
      <c r="A7" t="inlineStr">
        <is>
          <t>Coffee</t>
        </is>
      </c>
      <c r="B7" t="n">
        <v>2010</v>
      </c>
      <c r="C7" s="11" t="n">
        <v>27.025</v>
      </c>
      <c r="D7" t="inlineStr">
        <is>
          <t>Poore and Nemecek 2018, via Our World in Data</t>
        </is>
      </c>
    </row>
    <row r="8">
      <c r="A8" t="inlineStr">
        <is>
          <t>Berries &amp; Grapes</t>
        </is>
      </c>
      <c r="B8" t="n">
        <v>2010</v>
      </c>
      <c r="C8" s="11" t="n">
        <v>24.1</v>
      </c>
      <c r="D8" t="inlineStr">
        <is>
          <t>Poore and Nemecek 2018, via Our World in Data</t>
        </is>
      </c>
    </row>
    <row r="9">
      <c r="A9" t="inlineStr">
        <is>
          <t>Beef (dairy herd)</t>
        </is>
      </c>
      <c r="B9" t="n">
        <v>2010</v>
      </c>
      <c r="C9" s="11" t="n">
        <v>21.904762</v>
      </c>
      <c r="D9" t="inlineStr">
        <is>
          <t>Poore and Nemecek 2018, via Our World in Data</t>
        </is>
      </c>
    </row>
    <row r="10">
      <c r="A10" t="inlineStr">
        <is>
          <t>Bananas</t>
        </is>
      </c>
      <c r="B10" t="n">
        <v>2010</v>
      </c>
      <c r="C10" s="11" t="n">
        <v>21.444445</v>
      </c>
      <c r="D10" t="inlineStr">
        <is>
          <t>Poore and Nemecek 2018, via Our World in Data</t>
        </is>
      </c>
    </row>
    <row r="11">
      <c r="A11" t="inlineStr">
        <is>
          <t>Apples</t>
        </is>
      </c>
      <c r="B11" t="n">
        <v>2010</v>
      </c>
      <c r="C11" s="11" t="n">
        <v>21</v>
      </c>
      <c r="D11" t="inlineStr">
        <is>
          <t>Poore and Nemecek 2018, via Our World in Data</t>
        </is>
      </c>
    </row>
    <row r="12">
      <c r="A12" t="inlineStr">
        <is>
          <t>Cassava</t>
        </is>
      </c>
      <c r="B12" t="n">
        <v>2010</v>
      </c>
      <c r="C12" s="11" t="n">
        <v>20.11111</v>
      </c>
      <c r="D12" t="inlineStr">
        <is>
          <t>Poore and Nemecek 2018, via Our World in Data</t>
        </is>
      </c>
    </row>
    <row r="13">
      <c r="A13" t="inlineStr">
        <is>
          <t>Citrus Fruit</t>
        </is>
      </c>
      <c r="B13" t="n">
        <v>2010</v>
      </c>
      <c r="C13" s="11" t="n">
        <v>14.333333</v>
      </c>
      <c r="D13" t="inlineStr">
        <is>
          <t>Poore and Nemecek 2018, via Our World in Data</t>
        </is>
      </c>
    </row>
    <row r="14">
      <c r="A14" t="inlineStr">
        <is>
          <t>Pig Meat</t>
        </is>
      </c>
      <c r="B14" t="n">
        <v>2010</v>
      </c>
      <c r="C14" s="11" t="n">
        <v>10.729296</v>
      </c>
      <c r="D14" t="inlineStr">
        <is>
          <t>Poore and Nemecek 2018, via Our World in Data</t>
        </is>
      </c>
    </row>
    <row r="15">
      <c r="A15" t="inlineStr">
        <is>
          <t>Nuts</t>
        </is>
      </c>
      <c r="B15" t="n">
        <v>2010</v>
      </c>
      <c r="C15" s="11" t="n">
        <v>7.9363136</v>
      </c>
      <c r="D15" t="inlineStr">
        <is>
          <t>Poore and Nemecek 2018, via Our World in Data</t>
        </is>
      </c>
    </row>
    <row r="16">
      <c r="A16" t="inlineStr">
        <is>
          <t>Tomatoes</t>
        </is>
      </c>
      <c r="B16" t="n">
        <v>2010</v>
      </c>
      <c r="C16" s="11" t="n">
        <v>7.2727275</v>
      </c>
      <c r="D16" t="inlineStr">
        <is>
          <t>Poore and Nemecek 2018, via Our World in Data</t>
        </is>
      </c>
    </row>
    <row r="17">
      <c r="A17" t="inlineStr">
        <is>
          <t>Other Pulses</t>
        </is>
      </c>
      <c r="B17" t="n">
        <v>2010</v>
      </c>
      <c r="C17" s="11" t="n">
        <v>7.2723026</v>
      </c>
      <c r="D17" t="inlineStr">
        <is>
          <t>Poore and Nemecek 2018, via Our World in Data</t>
        </is>
      </c>
    </row>
    <row r="18">
      <c r="A18" t="inlineStr">
        <is>
          <t>Poultry Meat</t>
        </is>
      </c>
      <c r="B18" t="n">
        <v>2010</v>
      </c>
      <c r="C18" s="11" t="n">
        <v>7.055427</v>
      </c>
      <c r="D18" t="inlineStr">
        <is>
          <t>Poore and Nemecek 2018, via Our World in Data</t>
        </is>
      </c>
    </row>
    <row r="19">
      <c r="A19" t="inlineStr">
        <is>
          <t>Oatmeal</t>
        </is>
      </c>
      <c r="B19" t="n">
        <v>2010</v>
      </c>
      <c r="C19" s="11" t="n">
        <v>5.8461537</v>
      </c>
      <c r="D19" t="inlineStr">
        <is>
          <t>Poore and Nemecek 2018, via Our World in Data</t>
        </is>
      </c>
    </row>
    <row r="20">
      <c r="A20" t="inlineStr">
        <is>
          <t>Eggs</t>
        </is>
      </c>
      <c r="B20" t="n">
        <v>2010</v>
      </c>
      <c r="C20" s="11" t="n">
        <v>5.650685</v>
      </c>
      <c r="D20" t="inlineStr">
        <is>
          <t>Poore and Nemecek 2018, via Our World in Data</t>
        </is>
      </c>
    </row>
    <row r="21">
      <c r="A21" t="inlineStr">
        <is>
          <t>Potatoes</t>
        </is>
      </c>
      <c r="B21" t="n">
        <v>2010</v>
      </c>
      <c r="C21" s="11" t="n">
        <v>5.1764708</v>
      </c>
      <c r="D21" t="inlineStr">
        <is>
          <t>Poore and Nemecek 2018, via Our World in Data</t>
        </is>
      </c>
    </row>
    <row r="22">
      <c r="A22" t="inlineStr">
        <is>
          <t>Brassicas</t>
        </is>
      </c>
      <c r="B22" t="n">
        <v>2010</v>
      </c>
      <c r="C22" s="11" t="n">
        <v>5</v>
      </c>
      <c r="D22" t="inlineStr">
        <is>
          <t>Poore and Nemecek 2018, via Our World in Data</t>
        </is>
      </c>
    </row>
    <row r="23">
      <c r="A23" t="inlineStr">
        <is>
          <t>Grains</t>
        </is>
      </c>
      <c r="B23" t="n">
        <v>2010</v>
      </c>
      <c r="C23" s="11" t="n">
        <v>4.6</v>
      </c>
      <c r="D23" t="inlineStr">
        <is>
          <t>Poore and Nemecek 2018, via Our World in Data</t>
        </is>
      </c>
    </row>
    <row r="24">
      <c r="A24" t="inlineStr">
        <is>
          <t>Rice</t>
        </is>
      </c>
      <c r="B24" t="n">
        <v>2010</v>
      </c>
      <c r="C24" s="11" t="n">
        <v>3.943662</v>
      </c>
      <c r="D24" t="inlineStr">
        <is>
          <t>Poore and Nemecek 2018, via Our World in Data</t>
        </is>
      </c>
    </row>
    <row r="25">
      <c r="A25" t="inlineStr">
        <is>
          <t>Fish (farmed)</t>
        </is>
      </c>
      <c r="B25" t="n">
        <v>2010</v>
      </c>
      <c r="C25" s="11" t="n">
        <v>3.6877878</v>
      </c>
      <c r="D25" t="inlineStr">
        <is>
          <t>Poore and Nemecek 2018, via Our World in Data</t>
        </is>
      </c>
    </row>
    <row r="26">
      <c r="A26" t="inlineStr">
        <is>
          <t>Groundnuts</t>
        </is>
      </c>
      <c r="B26" t="n">
        <v>2010</v>
      </c>
      <c r="C26" s="11" t="n">
        <v>3.4797556</v>
      </c>
      <c r="D26" t="inlineStr">
        <is>
          <t>Poore and Nemecek 2018, via Our World in Data</t>
        </is>
      </c>
    </row>
    <row r="27">
      <c r="A27" t="inlineStr">
        <is>
          <t>Peas</t>
        </is>
      </c>
      <c r="B27" t="n">
        <v>2010</v>
      </c>
      <c r="C27" s="11" t="n">
        <v>3.3573358</v>
      </c>
      <c r="D27" t="inlineStr">
        <is>
          <t>Poore and Nemecek 2018, via Our World in Data</t>
        </is>
      </c>
    </row>
    <row r="28">
      <c r="A28" t="inlineStr">
        <is>
          <t>Root Vegetables</t>
        </is>
      </c>
      <c r="B28" t="n">
        <v>2010</v>
      </c>
      <c r="C28" s="11" t="n">
        <v>3.3</v>
      </c>
      <c r="D28" t="inlineStr">
        <is>
          <t>Poore and Nemecek 2018, via Our World in Data</t>
        </is>
      </c>
    </row>
    <row r="29">
      <c r="A29" t="inlineStr">
        <is>
          <t>Wheat &amp; Rye</t>
        </is>
      </c>
      <c r="B29" t="n">
        <v>2010</v>
      </c>
      <c r="C29" s="11" t="n">
        <v>3.1557376</v>
      </c>
      <c r="D29" t="inlineStr">
        <is>
          <t>Poore and Nemecek 2018, via Our World in Data</t>
        </is>
      </c>
    </row>
    <row r="30">
      <c r="A30" t="inlineStr">
        <is>
          <t>Maize</t>
        </is>
      </c>
      <c r="B30" t="n">
        <v>2010</v>
      </c>
      <c r="C30" s="11" t="n">
        <v>3.0947368</v>
      </c>
      <c r="D30" t="inlineStr">
        <is>
          <t>Poore and Nemecek 2018, via Our World in Data</t>
        </is>
      </c>
    </row>
    <row r="31">
      <c r="A31" t="inlineStr">
        <is>
          <t>Onions &amp; Leeks</t>
        </is>
      </c>
      <c r="B31" t="n">
        <v>2010</v>
      </c>
      <c r="C31" s="11" t="n">
        <v>3</v>
      </c>
      <c r="D31" t="inlineStr">
        <is>
          <t>Poore and Nemecek 2018, via Our World in Data</t>
        </is>
      </c>
    </row>
    <row r="32">
      <c r="A32" t="inlineStr">
        <is>
          <t>Tofu</t>
        </is>
      </c>
      <c r="B32" t="n">
        <v>2010</v>
      </c>
      <c r="C32" s="11" t="n">
        <v>2.2</v>
      </c>
      <c r="D32" t="inlineStr">
        <is>
          <t>Poore and Nemecek 2018, via Our World in Data</t>
        </is>
      </c>
    </row>
    <row r="33">
      <c r="A33" t="inlineStr">
        <is>
          <t>Prawns (farmed)</t>
        </is>
      </c>
      <c r="B33" t="n">
        <v>2010</v>
      </c>
      <c r="C33" s="11" t="n">
        <v>2.0108328</v>
      </c>
      <c r="D33" t="inlineStr">
        <is>
          <t>Poore and Nemecek 2018, via Our World in Data</t>
        </is>
      </c>
    </row>
  </sheetData>
  <autoFilter ref="A1:D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90" customWidth="1" min="3" max="3"/>
  </cols>
  <sheetData>
    <row r="1">
      <c r="A1" s="4" t="inlineStr">
        <is>
          <t>Indicator</t>
        </is>
      </c>
      <c r="B1" s="4" t="inlineStr">
        <is>
          <t>Chapter</t>
        </is>
      </c>
      <c r="C1" s="4" t="inlineStr">
        <is>
          <t>Why it is absent</t>
        </is>
      </c>
    </row>
    <row r="2" ht="32" customHeight="1">
      <c r="A2" s="5" t="inlineStr">
        <is>
          <t>restoration_rate</t>
        </is>
      </c>
      <c r="B2" s="5" t="inlineStr">
        <is>
          <t>29</t>
        </is>
      </c>
      <c r="C2" s="5" t="inlineStr">
        <is>
          <t>Hectares restored, watersheds improving, soil carbon added. No public series is wired in.</t>
        </is>
      </c>
    </row>
    <row r="3" ht="32" customHeight="1">
      <c r="A3" s="5" t="inlineStr">
        <is>
          <t>rivers_downstream</t>
        </is>
      </c>
      <c r="B3" s="5" t="inlineStr">
        <is>
          <t>29</t>
        </is>
      </c>
      <c r="C3" s="5" t="inlineStr">
        <is>
          <t>Cleaner downstream than upstream. The manuscript calls this the best single test. It needs a sampling program, not an API.</t>
        </is>
      </c>
    </row>
    <row r="4" ht="32" customHeight="1">
      <c r="A4" s="5" t="inlineStr">
        <is>
          <t>time_and_care</t>
        </is>
      </c>
      <c r="B4" s="5" t="inlineStr">
        <is>
          <t>29</t>
        </is>
      </c>
      <c r="C4" s="5" t="inlineStr">
        <is>
          <t>Unpaid care hours and their distribution. GDP does not see them, and neither does this pull.</t>
        </is>
      </c>
    </row>
    <row r="5" ht="32" customHeight="1">
      <c r="A5" s="5" t="inlineStr">
        <is>
          <t>legitimacy</t>
        </is>
      </c>
      <c r="B5" s="5" t="inlineStr">
        <is>
          <t>28 and 29</t>
        </is>
      </c>
      <c r="C5" s="5" t="inlineStr">
        <is>
          <t>Cases brought, cases won, time to remedy. Not in these sources.</t>
        </is>
      </c>
    </row>
    <row r="6" ht="32" customHeight="1">
      <c r="A6" s="5" t="inlineStr">
        <is>
          <t>resilience</t>
        </is>
      </c>
      <c r="B6" s="5" t="inlineStr">
        <is>
          <t>29</t>
        </is>
      </c>
      <c r="C6" s="5" t="inlineStr">
        <is>
          <t>Local food share, storage, redundancy. Not in these sources.</t>
        </is>
      </c>
    </row>
    <row r="7" ht="32" customHeight="1">
      <c r="A7" s="5" t="inlineStr">
        <is>
          <t>vacant_homes_vs_homeless</t>
        </is>
      </c>
      <c r="B7" s="5" t="inlineStr">
        <is>
          <t>1</t>
        </is>
      </c>
      <c r="C7" s="5" t="inlineStr">
        <is>
          <t>Deliberately absent. Chapter 1 calls that comparison fungibility nonsense.</t>
        </is>
      </c>
    </row>
    <row r="8" ht="32" customHeight="1">
      <c r="A8" s="5" t="inlineStr">
        <is>
          <t>composite_index</t>
        </is>
      </c>
      <c r="B8" s="5" t="inlineStr">
        <is>
          <t>29</t>
        </is>
      </c>
      <c r="C8" s="5" t="inlineStr">
        <is>
          <t>Deliberately absent. Chapter 29 argues that weights hidden inside one number are a political act.</t>
        </is>
      </c>
    </row>
  </sheetData>
  <autoFilter ref="A1:C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24" customWidth="1" min="3" max="3"/>
  </cols>
  <sheetData>
    <row r="1">
      <c r="A1" s="4" t="inlineStr">
        <is>
          <t>Check</t>
        </is>
      </c>
      <c r="B1" s="4" t="inlineStr">
        <is>
          <t>Passed</t>
        </is>
      </c>
      <c r="C1" s="4" t="inlineStr">
        <is>
          <t>Detail</t>
        </is>
      </c>
    </row>
    <row r="2">
      <c r="A2" t="inlineStr">
        <is>
          <t>every agency has the complete fiscal year</t>
        </is>
      </c>
      <c r="B2" t="inlineStr">
        <is>
          <t>yes</t>
        </is>
      </c>
      <c r="C2" t="inlineStr">
        <is>
          <t>FY2025</t>
        </is>
      </c>
    </row>
    <row r="3">
      <c r="A3" t="inlineStr">
        <is>
          <t>FY2026 is marked partial</t>
        </is>
      </c>
      <c r="B3" t="inlineStr">
        <is>
          <t>yes</t>
        </is>
      </c>
      <c r="C3" t="inlineStr">
        <is>
          <t>partial_year true</t>
        </is>
      </c>
    </row>
    <row r="4">
      <c r="A4" t="inlineStr">
        <is>
          <t>Mauna Loa latest ppm between 400 and 500</t>
        </is>
      </c>
      <c r="B4" t="inlineStr">
        <is>
          <t>yes</t>
        </is>
      </c>
      <c r="C4" t="inlineStr">
        <is>
          <t>426.07</t>
        </is>
      </c>
    </row>
    <row r="5">
      <c r="A5" t="inlineStr">
        <is>
          <t>United States calorie series exists</t>
        </is>
      </c>
      <c r="B5" t="inlineStr">
        <is>
          <t>yes</t>
        </is>
      </c>
      <c r="C5" t="inlineStr">
        <is>
          <t>daily_calorie_supply</t>
        </is>
      </c>
    </row>
    <row r="6">
      <c r="A6" t="inlineStr">
        <is>
          <t>no claim is a weighted index</t>
        </is>
      </c>
      <c r="B6" t="inlineStr">
        <is>
          <t>yes</t>
        </is>
      </c>
      <c r="C6" t="inlineStr">
        <is>
          <t>verdicts are labels, not weights</t>
        </is>
      </c>
    </row>
    <row r="7">
      <c r="A7" t="inlineStr">
        <is>
          <t>vacancy and homelessness are absent</t>
        </is>
      </c>
      <c r="B7" t="inlineStr">
        <is>
          <t>yes</t>
        </is>
      </c>
      <c r="C7" t="inlineStr">
        <is>
          <t>chapter 1 exclusion</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2026-10-26T19:42:29Z</dcterms:created>
  <dcterms:modified xsi:type="dcterms:W3CDTF">2026-10-26T19:42:29Z</dcterms:modified>
</cp:coreProperties>
</file>